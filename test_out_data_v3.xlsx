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gill-my.sharepoint.com/personal/sophia_balevicius_mail_mcgill_ca/Documents/"/>
    </mc:Choice>
  </mc:AlternateContent>
  <xr:revisionPtr revIDLastSave="0" documentId="8_{851F506B-6FF2-40F1-B57E-0E62C3A654BF}" xr6:coauthVersionLast="47" xr6:coauthVersionMax="47" xr10:uidLastSave="{00000000-0000-0000-0000-000000000000}"/>
  <bookViews>
    <workbookView xWindow="3620" yWindow="500" windowWidth="25100" windowHeight="17000" xr2:uid="{00000000-000D-0000-FFFF-FFFF00000000}"/>
  </bookViews>
  <sheets>
    <sheet name="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6" i="1" l="1"/>
  <c r="AG54" i="1"/>
  <c r="AC56" i="1"/>
  <c r="AC55" i="1"/>
  <c r="AB56" i="1"/>
  <c r="AB55" i="1"/>
  <c r="R55" i="1"/>
  <c r="AH51" i="1"/>
  <c r="AH50" i="1"/>
  <c r="AG51" i="1"/>
  <c r="AG50" i="1"/>
  <c r="W50" i="1"/>
  <c r="AD52" i="1"/>
  <c r="W56" i="1"/>
  <c r="W54" i="1"/>
  <c r="S55" i="1"/>
  <c r="S56" i="1"/>
  <c r="R56" i="1"/>
  <c r="X51" i="1"/>
  <c r="W51" i="1"/>
  <c r="X50" i="1"/>
  <c r="T52" i="1"/>
  <c r="D57" i="1"/>
  <c r="B57" i="1"/>
</calcChain>
</file>

<file path=xl/sharedStrings.xml><?xml version="1.0" encoding="utf-8"?>
<sst xmlns="http://schemas.openxmlformats.org/spreadsheetml/2006/main" count="125" uniqueCount="66">
  <si>
    <t>Condition</t>
  </si>
  <si>
    <t>Avg_depol</t>
  </si>
  <si>
    <t>SD avg depol</t>
  </si>
  <si>
    <t>Avg_depol stim1</t>
  </si>
  <si>
    <t>Avg_depol stim2</t>
  </si>
  <si>
    <t>Avg_depol stim3</t>
  </si>
  <si>
    <t>Avg_depol stim4</t>
  </si>
  <si>
    <t>%stims with transients</t>
  </si>
  <si>
    <t>Avg % recovery</t>
  </si>
  <si>
    <t>Avg % recovery stim1</t>
  </si>
  <si>
    <t>Avg % recovery stim2</t>
  </si>
  <si>
    <t>Avg % recovery stim3</t>
  </si>
  <si>
    <t>Avg % recovery stim4</t>
  </si>
  <si>
    <t>Stim 1 recovery time</t>
  </si>
  <si>
    <t>Stim 2 recovery time</t>
  </si>
  <si>
    <t>Stim 3 recovery time</t>
  </si>
  <si>
    <t>Stim 4 recovery time</t>
  </si>
  <si>
    <t>A - blue - test</t>
  </si>
  <si>
    <t>A - white - test</t>
  </si>
  <si>
    <t>B - blue - test</t>
  </si>
  <si>
    <t>B - white - test</t>
  </si>
  <si>
    <t>C - blue - test</t>
  </si>
  <si>
    <t>C - white - test</t>
  </si>
  <si>
    <t>D - blue test</t>
  </si>
  <si>
    <t>D - white test</t>
  </si>
  <si>
    <t>E - blue test</t>
  </si>
  <si>
    <t>E white test</t>
  </si>
  <si>
    <t>F blue test</t>
  </si>
  <si>
    <t>F white test</t>
  </si>
  <si>
    <t>Average Depolarization Potential ninaE</t>
  </si>
  <si>
    <t>Protocol</t>
  </si>
  <si>
    <t>White</t>
  </si>
  <si>
    <t>White SD</t>
  </si>
  <si>
    <t>Blue</t>
  </si>
  <si>
    <t>Blue SD</t>
  </si>
  <si>
    <t>A</t>
  </si>
  <si>
    <t>B</t>
  </si>
  <si>
    <t>C</t>
  </si>
  <si>
    <t>D</t>
  </si>
  <si>
    <t>E</t>
  </si>
  <si>
    <t>F</t>
  </si>
  <si>
    <t>Average Depolarization Potential - ninaE vs Controls</t>
  </si>
  <si>
    <t>White mutant</t>
  </si>
  <si>
    <t>Blue mutant</t>
  </si>
  <si>
    <t>White control</t>
  </si>
  <si>
    <t>Blue control</t>
  </si>
  <si>
    <t>White SD mutant</t>
  </si>
  <si>
    <t>Blue SD mutant</t>
  </si>
  <si>
    <t>White SD control</t>
  </si>
  <si>
    <t>Blue SD control</t>
  </si>
  <si>
    <t>%stim with transients</t>
  </si>
  <si>
    <t>Chi-squared test - white</t>
  </si>
  <si>
    <t>Chi-squared test - Blue</t>
  </si>
  <si>
    <t>#trials with or without transients</t>
  </si>
  <si>
    <t>obs</t>
  </si>
  <si>
    <t>mutant</t>
  </si>
  <si>
    <t>control</t>
  </si>
  <si>
    <t>exp</t>
  </si>
  <si>
    <t>transience</t>
  </si>
  <si>
    <t>no transience</t>
  </si>
  <si>
    <t>(O-E)^2/E</t>
  </si>
  <si>
    <t>x</t>
  </si>
  <si>
    <t>df</t>
  </si>
  <si>
    <t>p-value</t>
  </si>
  <si>
    <t>Average</t>
  </si>
  <si>
    <t>Average % recovery (over all stimuli)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</si>
</sst>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0" fillId="0" borderId="0" xfId="0" applyNumberForma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Depolarization</a:t>
            </a:r>
            <a:r>
              <a:rPr lang="en-US" baseline="0"/>
              <a:t> potential in ninaE mutants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Summary!$B$18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Summary!$C$19:$C$24</c:f>
                <c:numCache>
                  <c:formatCode>General</c:formatCode>
                  <c:ptCount val="6"/>
                  <c:pt idx="0">
                    <c:v>0.19189036105987789</c:v>
                  </c:pt>
                  <c:pt idx="1">
                    <c:v>0.1234017110192374</c:v>
                  </c:pt>
                  <c:pt idx="2">
                    <c:v>0.11147255264791001</c:v>
                  </c:pt>
                  <c:pt idx="3">
                    <c:v>0.1287685352219021</c:v>
                  </c:pt>
                  <c:pt idx="4">
                    <c:v>9.2531578311258744E-2</c:v>
                  </c:pt>
                  <c:pt idx="5">
                    <c:v>9.6684224019479514E-2</c:v>
                  </c:pt>
                </c:numCache>
              </c:numRef>
            </c:plus>
            <c:minus>
              <c:numRef>
                <c:f>Summary!$C$19:$C$24</c:f>
                <c:numCache>
                  <c:formatCode>General</c:formatCode>
                  <c:ptCount val="6"/>
                  <c:pt idx="0">
                    <c:v>0.19189036105987789</c:v>
                  </c:pt>
                  <c:pt idx="1">
                    <c:v>0.1234017110192374</c:v>
                  </c:pt>
                  <c:pt idx="2">
                    <c:v>0.11147255264791001</c:v>
                  </c:pt>
                  <c:pt idx="3">
                    <c:v>0.1287685352219021</c:v>
                  </c:pt>
                  <c:pt idx="4">
                    <c:v>9.2531578311258744E-2</c:v>
                  </c:pt>
                  <c:pt idx="5">
                    <c:v>9.6684224019479514E-2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Summary!$A$19:$A$24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Summary!$B$19:$B$24</c:f>
              <c:numCache>
                <c:formatCode>General</c:formatCode>
                <c:ptCount val="6"/>
                <c:pt idx="0">
                  <c:v>-0.27873515803366888</c:v>
                </c:pt>
                <c:pt idx="1">
                  <c:v>-0.2420377666130662</c:v>
                </c:pt>
                <c:pt idx="2">
                  <c:v>-0.21390914940275249</c:v>
                </c:pt>
                <c:pt idx="3">
                  <c:v>-0.24169921787688509</c:v>
                </c:pt>
                <c:pt idx="4">
                  <c:v>-0.18840312678366911</c:v>
                </c:pt>
                <c:pt idx="5">
                  <c:v>-0.1850318908691406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D-3341-BAE8-BEA65C91D269}"/>
            </c:ext>
          </c:extLst>
        </c:ser>
        <c:ser>
          <c:idx val="2"/>
          <c:order val="1"/>
          <c:tx>
            <c:strRef>
              <c:f>Summary!$D$18</c:f>
              <c:strCache>
                <c:ptCount val="1"/>
                <c:pt idx="0">
                  <c:v>Blue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Summary!$E$19:$E$24</c:f>
                <c:numCache>
                  <c:formatCode>General</c:formatCode>
                  <c:ptCount val="6"/>
                  <c:pt idx="0">
                    <c:v>0.14845155728918111</c:v>
                  </c:pt>
                  <c:pt idx="1">
                    <c:v>0.14764317730669169</c:v>
                  </c:pt>
                  <c:pt idx="2">
                    <c:v>0.1263034940135209</c:v>
                  </c:pt>
                  <c:pt idx="3">
                    <c:v>0.13419963880385971</c:v>
                  </c:pt>
                  <c:pt idx="4">
                    <c:v>0.1020305590123318</c:v>
                  </c:pt>
                  <c:pt idx="5">
                    <c:v>0.1027794610602922</c:v>
                  </c:pt>
                </c:numCache>
              </c:numRef>
            </c:plus>
            <c:minus>
              <c:numRef>
                <c:f>Summary!$E$19:$E$24</c:f>
                <c:numCache>
                  <c:formatCode>General</c:formatCode>
                  <c:ptCount val="6"/>
                  <c:pt idx="0">
                    <c:v>0.14845155728918111</c:v>
                  </c:pt>
                  <c:pt idx="1">
                    <c:v>0.14764317730669169</c:v>
                  </c:pt>
                  <c:pt idx="2">
                    <c:v>0.1263034940135209</c:v>
                  </c:pt>
                  <c:pt idx="3">
                    <c:v>0.13419963880385971</c:v>
                  </c:pt>
                  <c:pt idx="4">
                    <c:v>0.1020305590123318</c:v>
                  </c:pt>
                  <c:pt idx="5">
                    <c:v>0.1027794610602922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Summary!$A$19:$A$24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Summary!$D$19:$D$24</c:f>
              <c:numCache>
                <c:formatCode>General</c:formatCode>
                <c:ptCount val="6"/>
                <c:pt idx="0">
                  <c:v>-0.20340919494628909</c:v>
                </c:pt>
                <c:pt idx="1">
                  <c:v>-0.2086448669433594</c:v>
                </c:pt>
                <c:pt idx="2">
                  <c:v>-0.17487525939941409</c:v>
                </c:pt>
                <c:pt idx="3">
                  <c:v>-0.19539833068847659</c:v>
                </c:pt>
                <c:pt idx="4">
                  <c:v>-0.1713371276855469</c:v>
                </c:pt>
                <c:pt idx="5">
                  <c:v>-0.16520500183105469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ED-3341-BAE8-BEA65C91D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30690176"/>
        <c:axId val="430731712"/>
      </c:barChart>
      <c:catAx>
        <c:axId val="43069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731712"/>
        <c:crosses val="autoZero"/>
        <c:auto val="1"/>
        <c:lblAlgn val="ctr"/>
        <c:lblOffset val="0"/>
        <c:noMultiLvlLbl val="0"/>
      </c:catAx>
      <c:valAx>
        <c:axId val="43073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depolarization potential (uV)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9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Depolarization</a:t>
            </a:r>
            <a:r>
              <a:rPr lang="en-US" baseline="0"/>
              <a:t> potential in ninaE mutants and controls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Summary!$B$32</c:f>
              <c:strCache>
                <c:ptCount val="1"/>
                <c:pt idx="0">
                  <c:v>White mutant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Summary!$F$33:$F$38</c:f>
                <c:numCache>
                  <c:formatCode>General</c:formatCode>
                  <c:ptCount val="6"/>
                  <c:pt idx="0">
                    <c:v>0.19189036105987789</c:v>
                  </c:pt>
                  <c:pt idx="1">
                    <c:v>0.1234017110192374</c:v>
                  </c:pt>
                  <c:pt idx="2">
                    <c:v>0.11147255264791001</c:v>
                  </c:pt>
                  <c:pt idx="3">
                    <c:v>0.1287685352219021</c:v>
                  </c:pt>
                  <c:pt idx="4">
                    <c:v>9.2531578311258744E-2</c:v>
                  </c:pt>
                  <c:pt idx="5">
                    <c:v>9.6684224019479514E-2</c:v>
                  </c:pt>
                </c:numCache>
              </c:numRef>
            </c:plus>
            <c:minus>
              <c:numRef>
                <c:f>Summary!$F$33:$F$38</c:f>
                <c:numCache>
                  <c:formatCode>General</c:formatCode>
                  <c:ptCount val="6"/>
                  <c:pt idx="0">
                    <c:v>0.19189036105987789</c:v>
                  </c:pt>
                  <c:pt idx="1">
                    <c:v>0.1234017110192374</c:v>
                  </c:pt>
                  <c:pt idx="2">
                    <c:v>0.11147255264791001</c:v>
                  </c:pt>
                  <c:pt idx="3">
                    <c:v>0.1287685352219021</c:v>
                  </c:pt>
                  <c:pt idx="4">
                    <c:v>9.2531578311258744E-2</c:v>
                  </c:pt>
                  <c:pt idx="5">
                    <c:v>9.6684224019479514E-2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Summary!$A$33:$A$38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Summary!$B$33:$B$38</c:f>
              <c:numCache>
                <c:formatCode>General</c:formatCode>
                <c:ptCount val="6"/>
                <c:pt idx="0">
                  <c:v>-0.27873515803366888</c:v>
                </c:pt>
                <c:pt idx="1">
                  <c:v>-0.2420377666130662</c:v>
                </c:pt>
                <c:pt idx="2">
                  <c:v>-0.21390914940275249</c:v>
                </c:pt>
                <c:pt idx="3">
                  <c:v>-0.24169921787688509</c:v>
                </c:pt>
                <c:pt idx="4">
                  <c:v>-0.18840312678366911</c:v>
                </c:pt>
                <c:pt idx="5">
                  <c:v>-0.1850318908691406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D-8540-8FAD-49336A4CF656}"/>
            </c:ext>
          </c:extLst>
        </c:ser>
        <c:ser>
          <c:idx val="1"/>
          <c:order val="1"/>
          <c:tx>
            <c:strRef>
              <c:f>Summary!$C$32</c:f>
              <c:strCache>
                <c:ptCount val="1"/>
                <c:pt idx="0">
                  <c:v>Blue mutant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Summary!$G$33:$G$38</c:f>
                <c:numCache>
                  <c:formatCode>General</c:formatCode>
                  <c:ptCount val="6"/>
                  <c:pt idx="0">
                    <c:v>0.14845155728918111</c:v>
                  </c:pt>
                  <c:pt idx="1">
                    <c:v>0.14764317730669169</c:v>
                  </c:pt>
                  <c:pt idx="2">
                    <c:v>0.1263034940135209</c:v>
                  </c:pt>
                  <c:pt idx="3">
                    <c:v>0.13419963880385971</c:v>
                  </c:pt>
                  <c:pt idx="4">
                    <c:v>0.1020305590123318</c:v>
                  </c:pt>
                  <c:pt idx="5">
                    <c:v>0.1027794610602922</c:v>
                  </c:pt>
                </c:numCache>
              </c:numRef>
            </c:plus>
            <c:minus>
              <c:numRef>
                <c:f>Summary!$G$33:$G$38</c:f>
                <c:numCache>
                  <c:formatCode>General</c:formatCode>
                  <c:ptCount val="6"/>
                  <c:pt idx="0">
                    <c:v>0.14845155728918111</c:v>
                  </c:pt>
                  <c:pt idx="1">
                    <c:v>0.14764317730669169</c:v>
                  </c:pt>
                  <c:pt idx="2">
                    <c:v>0.1263034940135209</c:v>
                  </c:pt>
                  <c:pt idx="3">
                    <c:v>0.13419963880385971</c:v>
                  </c:pt>
                  <c:pt idx="4">
                    <c:v>0.1020305590123318</c:v>
                  </c:pt>
                  <c:pt idx="5">
                    <c:v>0.1027794610602922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Summary!$A$33:$A$38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Summary!$C$33:$C$38</c:f>
              <c:numCache>
                <c:formatCode>General</c:formatCode>
                <c:ptCount val="6"/>
                <c:pt idx="0">
                  <c:v>-0.20340919494628909</c:v>
                </c:pt>
                <c:pt idx="1">
                  <c:v>-0.2086448669433594</c:v>
                </c:pt>
                <c:pt idx="2">
                  <c:v>-0.17487525939941409</c:v>
                </c:pt>
                <c:pt idx="3">
                  <c:v>-0.19539833068847659</c:v>
                </c:pt>
                <c:pt idx="4">
                  <c:v>-0.1713371276855469</c:v>
                </c:pt>
                <c:pt idx="5">
                  <c:v>-0.16520500183105469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CD-8540-8FAD-49336A4CF656}"/>
            </c:ext>
          </c:extLst>
        </c:ser>
        <c:ser>
          <c:idx val="2"/>
          <c:order val="2"/>
          <c:tx>
            <c:strRef>
              <c:f>Summary!$D$32</c:f>
              <c:strCache>
                <c:ptCount val="1"/>
                <c:pt idx="0">
                  <c:v>White control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Summary!$H$33:$H$38</c:f>
                <c:numCache>
                  <c:formatCode>General</c:formatCode>
                  <c:ptCount val="6"/>
                  <c:pt idx="0">
                    <c:v>0.13084615322421961</c:v>
                  </c:pt>
                  <c:pt idx="1">
                    <c:v>0.19528966297190309</c:v>
                  </c:pt>
                  <c:pt idx="2">
                    <c:v>0.171544313743593</c:v>
                  </c:pt>
                  <c:pt idx="3">
                    <c:v>0.19110118508975341</c:v>
                  </c:pt>
                  <c:pt idx="4">
                    <c:v>0.23358370249200769</c:v>
                  </c:pt>
                  <c:pt idx="5">
                    <c:v>0.21462007391389401</c:v>
                  </c:pt>
                </c:numCache>
              </c:numRef>
            </c:plus>
            <c:minus>
              <c:numRef>
                <c:f>Summary!$H$33:$H$38</c:f>
                <c:numCache>
                  <c:formatCode>General</c:formatCode>
                  <c:ptCount val="6"/>
                  <c:pt idx="0">
                    <c:v>0.13084615322421961</c:v>
                  </c:pt>
                  <c:pt idx="1">
                    <c:v>0.19528966297190309</c:v>
                  </c:pt>
                  <c:pt idx="2">
                    <c:v>0.171544313743593</c:v>
                  </c:pt>
                  <c:pt idx="3">
                    <c:v>0.19110118508975341</c:v>
                  </c:pt>
                  <c:pt idx="4">
                    <c:v>0.23358370249200769</c:v>
                  </c:pt>
                  <c:pt idx="5">
                    <c:v>0.21462007391389401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Summary!$A$33:$A$38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Summary!$D$33:$D$38</c:f>
              <c:numCache>
                <c:formatCode>General</c:formatCode>
                <c:ptCount val="6"/>
                <c:pt idx="0">
                  <c:v>-0.58271027207374559</c:v>
                </c:pt>
                <c:pt idx="1">
                  <c:v>-0.67707443088293051</c:v>
                </c:pt>
                <c:pt idx="2">
                  <c:v>-0.55425261855125418</c:v>
                </c:pt>
                <c:pt idx="3">
                  <c:v>-0.6371193071827278</c:v>
                </c:pt>
                <c:pt idx="4">
                  <c:v>-0.54541778564453103</c:v>
                </c:pt>
                <c:pt idx="5">
                  <c:v>-0.47603225111961328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CD-8540-8FAD-49336A4CF656}"/>
            </c:ext>
          </c:extLst>
        </c:ser>
        <c:ser>
          <c:idx val="3"/>
          <c:order val="3"/>
          <c:tx>
            <c:strRef>
              <c:f>Summary!$E$32</c:f>
              <c:strCache>
                <c:ptCount val="1"/>
                <c:pt idx="0">
                  <c:v>Blue control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Summary!$I$33:$I$38</c:f>
                <c:numCache>
                  <c:formatCode>General</c:formatCode>
                  <c:ptCount val="6"/>
                  <c:pt idx="0">
                    <c:v>0.28369472831742581</c:v>
                  </c:pt>
                  <c:pt idx="1">
                    <c:v>0.30384631555279679</c:v>
                  </c:pt>
                  <c:pt idx="2">
                    <c:v>0.1362164245972845</c:v>
                  </c:pt>
                  <c:pt idx="3">
                    <c:v>0.23815179279791571</c:v>
                  </c:pt>
                  <c:pt idx="4">
                    <c:v>0.28836342020388378</c:v>
                  </c:pt>
                  <c:pt idx="5">
                    <c:v>0.26935989579052178</c:v>
                  </c:pt>
                </c:numCache>
              </c:numRef>
            </c:plus>
            <c:minus>
              <c:numRef>
                <c:f>Summary!$I$33:$I$38</c:f>
                <c:numCache>
                  <c:formatCode>General</c:formatCode>
                  <c:ptCount val="6"/>
                  <c:pt idx="0">
                    <c:v>0.28369472831742581</c:v>
                  </c:pt>
                  <c:pt idx="1">
                    <c:v>0.30384631555279679</c:v>
                  </c:pt>
                  <c:pt idx="2">
                    <c:v>0.1362164245972845</c:v>
                  </c:pt>
                  <c:pt idx="3">
                    <c:v>0.23815179279791571</c:v>
                  </c:pt>
                  <c:pt idx="4">
                    <c:v>0.28836342020388378</c:v>
                  </c:pt>
                  <c:pt idx="5">
                    <c:v>0.26935989579052178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Summary!$A$33:$A$38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Summary!$E$33:$E$38</c:f>
              <c:numCache>
                <c:formatCode>General</c:formatCode>
                <c:ptCount val="6"/>
                <c:pt idx="0">
                  <c:v>-0.44126892499625608</c:v>
                </c:pt>
                <c:pt idx="1">
                  <c:v>-0.40787888150662172</c:v>
                </c:pt>
                <c:pt idx="2">
                  <c:v>-0.32005692496895749</c:v>
                </c:pt>
                <c:pt idx="3">
                  <c:v>-0.46164322244003397</c:v>
                </c:pt>
                <c:pt idx="4">
                  <c:v>-0.51312637627124746</c:v>
                </c:pt>
                <c:pt idx="5">
                  <c:v>-0.44509506225585899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CD-8540-8FAD-49336A4CF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615776"/>
        <c:axId val="410741264"/>
      </c:barChart>
      <c:catAx>
        <c:axId val="42461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41264"/>
        <c:crosses val="autoZero"/>
        <c:auto val="1"/>
        <c:lblAlgn val="ctr"/>
        <c:lblOffset val="100"/>
        <c:noMultiLvlLbl val="0"/>
      </c:catAx>
      <c:valAx>
        <c:axId val="41074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depolarization potential (uV)</a:t>
                </a:r>
              </a:p>
            </c:rich>
          </c:tx>
          <c:layout>
            <c:manualLayout>
              <c:xMode val="edge"/>
              <c:yMode val="edge"/>
              <c:x val="1.6738857566380994E-2"/>
              <c:y val="0.18585023803149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1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Presence</a:t>
            </a:r>
            <a:r>
              <a:rPr lang="en-US" baseline="0"/>
              <a:t> of transients in control and mutant ERG traces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Summary!$A$57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Summary!$B$56:$E$56</c:f>
              <c:strCache>
                <c:ptCount val="4"/>
                <c:pt idx="0">
                  <c:v>White control</c:v>
                </c:pt>
                <c:pt idx="1">
                  <c:v>White mutant</c:v>
                </c:pt>
                <c:pt idx="2">
                  <c:v>Blue control</c:v>
                </c:pt>
                <c:pt idx="3">
                  <c:v>Blue mutant</c:v>
                </c:pt>
              </c:strCache>
            </c:strRef>
          </c:cat>
          <c:val>
            <c:numRef>
              <c:f>Summary!$B$57:$E$57</c:f>
              <c:numCache>
                <c:formatCode>0.00%</c:formatCode>
                <c:ptCount val="4"/>
                <c:pt idx="0">
                  <c:v>1</c:v>
                </c:pt>
                <c:pt idx="1">
                  <c:v>0.25</c:v>
                </c:pt>
                <c:pt idx="2">
                  <c:v>0.53333333333333333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F-D04D-A31D-F2EAE2C18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6018896"/>
        <c:axId val="465770256"/>
      </c:barChart>
      <c:catAx>
        <c:axId val="25601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770256"/>
        <c:crosses val="autoZero"/>
        <c:auto val="1"/>
        <c:lblAlgn val="ctr"/>
        <c:lblOffset val="100"/>
        <c:noMultiLvlLbl val="0"/>
      </c:catAx>
      <c:valAx>
        <c:axId val="4657702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</a:t>
                </a:r>
                <a:r>
                  <a:rPr lang="en-US"/>
                  <a:t>% of recordings</a:t>
                </a:r>
                <a:r>
                  <a:rPr lang="en-US" baseline="0"/>
                  <a:t> with on/off transients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01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Recovery</a:t>
            </a:r>
            <a:r>
              <a:rPr lang="en-US" baseline="0"/>
              <a:t> of membrane potential over different recovery periods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Summary!$B$63</c:f>
              <c:strCache>
                <c:ptCount val="1"/>
                <c:pt idx="0">
                  <c:v>White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Summary!$A$64:$A$69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Summary!$B$64:$B$69</c:f>
              <c:numCache>
                <c:formatCode>General</c:formatCode>
                <c:ptCount val="6"/>
                <c:pt idx="0">
                  <c:v>99.617628419988179</c:v>
                </c:pt>
                <c:pt idx="1">
                  <c:v>99.275948120831231</c:v>
                </c:pt>
                <c:pt idx="2">
                  <c:v>101.33088093839309</c:v>
                </c:pt>
                <c:pt idx="3">
                  <c:v>103.0925695726652</c:v>
                </c:pt>
                <c:pt idx="4">
                  <c:v>99.062050525444135</c:v>
                </c:pt>
                <c:pt idx="5">
                  <c:v>101.9844100492672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D6-FD40-87E8-3558E6442F22}"/>
            </c:ext>
          </c:extLst>
        </c:ser>
        <c:ser>
          <c:idx val="1"/>
          <c:order val="1"/>
          <c:tx>
            <c:strRef>
              <c:f>Summary!$C$63</c:f>
              <c:strCache>
                <c:ptCount val="1"/>
                <c:pt idx="0">
                  <c:v>Blue control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Summary!$A$64:$A$69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Summary!$C$64:$C$69</c:f>
              <c:numCache>
                <c:formatCode>General</c:formatCode>
                <c:ptCount val="6"/>
                <c:pt idx="0">
                  <c:v>94.187763522044875</c:v>
                </c:pt>
                <c:pt idx="1">
                  <c:v>99.313301431974224</c:v>
                </c:pt>
                <c:pt idx="2">
                  <c:v>100.08409612211889</c:v>
                </c:pt>
                <c:pt idx="3">
                  <c:v>104.9808049809801</c:v>
                </c:pt>
                <c:pt idx="4">
                  <c:v>99.56755486733725</c:v>
                </c:pt>
                <c:pt idx="5">
                  <c:v>101.4213802696199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D6-FD40-87E8-3558E6442F22}"/>
            </c:ext>
          </c:extLst>
        </c:ser>
        <c:ser>
          <c:idx val="2"/>
          <c:order val="2"/>
          <c:tx>
            <c:strRef>
              <c:f>Summary!$D$63</c:f>
              <c:strCache>
                <c:ptCount val="1"/>
                <c:pt idx="0">
                  <c:v>White mutant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Summary!$A$64:$A$69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Summary!$D$64:$D$69</c:f>
              <c:numCache>
                <c:formatCode>General</c:formatCode>
                <c:ptCount val="6"/>
                <c:pt idx="0">
                  <c:v>104.1057357622211</c:v>
                </c:pt>
                <c:pt idx="1">
                  <c:v>99.867565460224824</c:v>
                </c:pt>
                <c:pt idx="2">
                  <c:v>103.4254979808922</c:v>
                </c:pt>
                <c:pt idx="3">
                  <c:v>109.5653842570446</c:v>
                </c:pt>
                <c:pt idx="4">
                  <c:v>100.7429905136264</c:v>
                </c:pt>
                <c:pt idx="5">
                  <c:v>101.807428881992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D6-FD40-87E8-3558E6442F22}"/>
            </c:ext>
          </c:extLst>
        </c:ser>
        <c:ser>
          <c:idx val="3"/>
          <c:order val="3"/>
          <c:tx>
            <c:strRef>
              <c:f>Summary!$E$63</c:f>
              <c:strCache>
                <c:ptCount val="1"/>
                <c:pt idx="0">
                  <c:v>Blue mutant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Summary!$A$64:$A$69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Summary!$E$64:$E$69</c:f>
              <c:numCache>
                <c:formatCode>General</c:formatCode>
                <c:ptCount val="6"/>
                <c:pt idx="0">
                  <c:v>99.965999999999994</c:v>
                </c:pt>
                <c:pt idx="1">
                  <c:v>100.1035704542229</c:v>
                </c:pt>
                <c:pt idx="2">
                  <c:v>103.5273254911891</c:v>
                </c:pt>
                <c:pt idx="3">
                  <c:v>102.89886749589471</c:v>
                </c:pt>
                <c:pt idx="4">
                  <c:v>100.59235371979609</c:v>
                </c:pt>
                <c:pt idx="5">
                  <c:v>100.6004908878205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D6-FD40-87E8-3558E6442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710448"/>
        <c:axId val="742310992"/>
      </c:barChart>
      <c:catAx>
        <c:axId val="22471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310992"/>
        <c:crosses val="autoZero"/>
        <c:auto val="1"/>
        <c:lblAlgn val="ctr"/>
        <c:lblOffset val="100"/>
        <c:noMultiLvlLbl val="0"/>
      </c:catAx>
      <c:valAx>
        <c:axId val="74231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% recovery  of</a:t>
                </a:r>
                <a:r>
                  <a:rPr lang="en-US" baseline="0"/>
                  <a:t> membrane potential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71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457398</xdr:colOff>
      <xdr:row>13</xdr:row>
      <xdr:rowOff>156369</xdr:rowOff>
    </xdr:from>
    <xdr:to>
      <xdr:col>12</xdr:col>
      <xdr:colOff>306586</xdr:colOff>
      <xdr:row>28</xdr:row>
      <xdr:rowOff>71834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2092E9-BC04-36DD-5332-EAE2DDD44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15215</xdr:colOff>
      <xdr:row>29</xdr:row>
      <xdr:rowOff>128587</xdr:rowOff>
    </xdr:from>
    <xdr:to>
      <xdr:col>17</xdr:col>
      <xdr:colOff>539090</xdr:colOff>
      <xdr:row>44</xdr:row>
      <xdr:rowOff>44052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E3303C-A98B-00E6-9AE7-C6F9298DE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355600</xdr:colOff>
      <xdr:row>44</xdr:row>
      <xdr:rowOff>121920</xdr:rowOff>
    </xdr:from>
    <xdr:to>
      <xdr:col>14</xdr:col>
      <xdr:colOff>254000</xdr:colOff>
      <xdr:row>59</xdr:row>
      <xdr:rowOff>142240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D03C5CC-097D-6EF9-234B-5628E990C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594360</xdr:colOff>
      <xdr:row>66</xdr:row>
      <xdr:rowOff>10160</xdr:rowOff>
    </xdr:from>
    <xdr:to>
      <xdr:col>12</xdr:col>
      <xdr:colOff>472440</xdr:colOff>
      <xdr:row>80</xdr:row>
      <xdr:rowOff>50800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CAE3A63-7C13-ECAB-423B-EA62AB45B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9"/>
  <sheetViews>
    <sheetView tabSelected="1" topLeftCell="A27" zoomScale="124" zoomScaleNormal="120" workbookViewId="0">
      <selection activeCell="V57" sqref="V57"/>
    </sheetView>
  </sheetViews>
  <sheetFormatPr defaultColWidth="8.85546875" defaultRowHeight="15"/>
  <cols>
    <col min="22" max="22" width="10.85546875" bestFit="1" customWidth="1"/>
    <col min="33" max="34" width="11.710937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-0.20340919494628909</v>
      </c>
      <c r="C2">
        <v>0.14845155728918111</v>
      </c>
      <c r="D2">
        <v>-0.2111244201660156</v>
      </c>
      <c r="E2">
        <v>-0.2031707763671875</v>
      </c>
      <c r="F2">
        <v>-0.202178955078125</v>
      </c>
      <c r="G2">
        <v>-0.1971626281738281</v>
      </c>
      <c r="H2">
        <v>0</v>
      </c>
      <c r="I2">
        <v>99.965995557598362</v>
      </c>
      <c r="J2">
        <v>96.615830667321092</v>
      </c>
      <c r="K2">
        <v>105.1318916501184</v>
      </c>
      <c r="L2">
        <v>95.918310788857099</v>
      </c>
      <c r="M2">
        <v>102.19794912409689</v>
      </c>
      <c r="N2">
        <v>2000</v>
      </c>
      <c r="O2">
        <v>2000</v>
      </c>
      <c r="P2">
        <v>2000</v>
      </c>
      <c r="Q2">
        <v>2000</v>
      </c>
    </row>
    <row r="3" spans="1:17">
      <c r="A3" t="s">
        <v>18</v>
      </c>
      <c r="B3">
        <v>-0.27873515803366888</v>
      </c>
      <c r="C3">
        <v>0.19189036105987789</v>
      </c>
      <c r="D3">
        <v>-0.27540206629782898</v>
      </c>
      <c r="E3">
        <v>-0.26830672938376648</v>
      </c>
      <c r="F3">
        <v>-0.28568267542868842</v>
      </c>
      <c r="G3">
        <v>-0.28554916102439148</v>
      </c>
      <c r="H3">
        <v>25</v>
      </c>
      <c r="I3">
        <v>104.1057357622211</v>
      </c>
      <c r="J3">
        <v>100.4903778028318</v>
      </c>
      <c r="K3">
        <v>107.0384590398406</v>
      </c>
      <c r="L3">
        <v>102.53469287009371</v>
      </c>
      <c r="M3">
        <v>106.35941333611839</v>
      </c>
      <c r="N3">
        <v>2000</v>
      </c>
      <c r="O3">
        <v>2000</v>
      </c>
      <c r="P3">
        <v>2000</v>
      </c>
      <c r="Q3">
        <v>2000</v>
      </c>
    </row>
    <row r="4" spans="1:17">
      <c r="A4" t="s">
        <v>19</v>
      </c>
      <c r="B4">
        <v>-0.2086448669433594</v>
      </c>
      <c r="C4">
        <v>0.14764317730669169</v>
      </c>
      <c r="D4">
        <v>-0.2169990539550781</v>
      </c>
      <c r="E4">
        <v>-0.2085304260253906</v>
      </c>
      <c r="F4">
        <v>-0.2052879333496094</v>
      </c>
      <c r="G4">
        <v>-0.2037620544433594</v>
      </c>
      <c r="H4">
        <v>0</v>
      </c>
      <c r="I4">
        <v>100.1035704542229</v>
      </c>
      <c r="J4">
        <v>96.317090624353085</v>
      </c>
      <c r="K4">
        <v>104.0247430981285</v>
      </c>
      <c r="L4">
        <v>100.1198703821741</v>
      </c>
      <c r="M4">
        <v>99.952577712236135</v>
      </c>
      <c r="N4">
        <v>2000.00024414063</v>
      </c>
      <c r="O4">
        <v>2000</v>
      </c>
      <c r="P4">
        <v>2000</v>
      </c>
      <c r="Q4">
        <v>1999.99975585937</v>
      </c>
    </row>
    <row r="5" spans="1:17">
      <c r="A5" t="s">
        <v>20</v>
      </c>
      <c r="B5">
        <v>-0.2420377666130662</v>
      </c>
      <c r="C5">
        <v>0.1234017110192374</v>
      </c>
      <c r="D5">
        <v>-0.25907515827566391</v>
      </c>
      <c r="E5">
        <v>-0.2349281245842576</v>
      </c>
      <c r="F5">
        <v>-0.23468016926199201</v>
      </c>
      <c r="G5">
        <v>-0.23946761433035141</v>
      </c>
      <c r="H5">
        <v>25</v>
      </c>
      <c r="I5">
        <v>99.867565460224824</v>
      </c>
      <c r="J5">
        <v>97.505140520726911</v>
      </c>
      <c r="K5">
        <v>97.922920815688627</v>
      </c>
      <c r="L5">
        <v>101.504907088287</v>
      </c>
      <c r="M5">
        <v>102.5372934161968</v>
      </c>
      <c r="N5">
        <v>2000.00024414063</v>
      </c>
      <c r="O5">
        <v>2000</v>
      </c>
      <c r="P5">
        <v>2000</v>
      </c>
      <c r="Q5">
        <v>1999.99975585937</v>
      </c>
    </row>
    <row r="6" spans="1:17">
      <c r="A6" t="s">
        <v>21</v>
      </c>
      <c r="B6">
        <v>-0.17487525939941409</v>
      </c>
      <c r="C6">
        <v>0.1263034940135209</v>
      </c>
      <c r="D6">
        <v>-0.1991081237792969</v>
      </c>
      <c r="E6">
        <v>-0.16937255859375</v>
      </c>
      <c r="F6">
        <v>-0.1676368713378906</v>
      </c>
      <c r="G6">
        <v>-0.16338348388671881</v>
      </c>
      <c r="H6">
        <v>0</v>
      </c>
      <c r="I6">
        <v>103.5273254911891</v>
      </c>
      <c r="J6">
        <v>92.422332597255078</v>
      </c>
      <c r="K6">
        <v>110.2043099423236</v>
      </c>
      <c r="L6">
        <v>103.57882752482941</v>
      </c>
      <c r="M6">
        <v>107.90383190034839</v>
      </c>
      <c r="N6">
        <v>1000</v>
      </c>
      <c r="O6">
        <v>1000</v>
      </c>
      <c r="P6">
        <v>1000</v>
      </c>
      <c r="Q6">
        <v>2000.00036621093</v>
      </c>
    </row>
    <row r="7" spans="1:17">
      <c r="A7" t="s">
        <v>22</v>
      </c>
      <c r="B7">
        <v>-0.21390914940275249</v>
      </c>
      <c r="C7">
        <v>0.11147255264791001</v>
      </c>
      <c r="D7">
        <v>-0.2599525460973382</v>
      </c>
      <c r="E7">
        <v>-0.2039146423339844</v>
      </c>
      <c r="F7">
        <v>-0.19771575927734381</v>
      </c>
      <c r="G7">
        <v>-0.19405364990234381</v>
      </c>
      <c r="H7">
        <v>25</v>
      </c>
      <c r="I7">
        <v>103.4254979808922</v>
      </c>
      <c r="J7">
        <v>83.548387898873543</v>
      </c>
      <c r="K7">
        <v>102.897200869735</v>
      </c>
      <c r="L7">
        <v>99.636088002209192</v>
      </c>
      <c r="M7">
        <v>127.6203151527509</v>
      </c>
      <c r="N7">
        <v>1000</v>
      </c>
      <c r="O7">
        <v>1000</v>
      </c>
      <c r="P7">
        <v>1000</v>
      </c>
      <c r="Q7">
        <v>2000.00036621093</v>
      </c>
    </row>
    <row r="8" spans="1:17">
      <c r="A8" t="s">
        <v>23</v>
      </c>
      <c r="B8">
        <v>-0.19539833068847659</v>
      </c>
      <c r="C8">
        <v>0.13419963880385971</v>
      </c>
      <c r="D8">
        <v>-0.2310752868652344</v>
      </c>
      <c r="E8">
        <v>-0.1862525939941406</v>
      </c>
      <c r="F8">
        <v>-0.18520355224609381</v>
      </c>
      <c r="G8">
        <v>-0.1790618896484375</v>
      </c>
      <c r="H8">
        <v>0</v>
      </c>
      <c r="I8">
        <v>102.89886749589471</v>
      </c>
      <c r="J8">
        <v>77.742594237392495</v>
      </c>
      <c r="K8">
        <v>102.6432400470168</v>
      </c>
      <c r="L8">
        <v>99.774303050377029</v>
      </c>
      <c r="M8">
        <v>131.43533264879241</v>
      </c>
      <c r="N8">
        <v>1000</v>
      </c>
      <c r="O8">
        <v>1000</v>
      </c>
      <c r="P8">
        <v>1000</v>
      </c>
      <c r="Q8">
        <v>7000</v>
      </c>
    </row>
    <row r="9" spans="1:17">
      <c r="A9" t="s">
        <v>24</v>
      </c>
      <c r="B9">
        <v>-0.24169921787688509</v>
      </c>
      <c r="C9">
        <v>0.1287685352219021</v>
      </c>
      <c r="D9">
        <v>-0.32258987077511853</v>
      </c>
      <c r="E9">
        <v>-0.2277946472167969</v>
      </c>
      <c r="F9">
        <v>-0.2121734619140625</v>
      </c>
      <c r="G9">
        <v>-0.2042388916015625</v>
      </c>
      <c r="H9">
        <v>25</v>
      </c>
      <c r="I9">
        <v>109.5653842570446</v>
      </c>
      <c r="J9">
        <v>72.800005671180188</v>
      </c>
      <c r="K9">
        <v>92.847773896993345</v>
      </c>
      <c r="L9">
        <v>100.87320583594069</v>
      </c>
      <c r="M9">
        <v>171.74055162406401</v>
      </c>
      <c r="N9">
        <v>1000</v>
      </c>
      <c r="O9">
        <v>1000</v>
      </c>
      <c r="P9">
        <v>1000</v>
      </c>
      <c r="Q9">
        <v>7000</v>
      </c>
    </row>
    <row r="10" spans="1:17">
      <c r="A10" t="s">
        <v>25</v>
      </c>
      <c r="B10">
        <v>-0.1713371276855469</v>
      </c>
      <c r="C10">
        <v>0.1020305590123318</v>
      </c>
      <c r="D10">
        <v>-0.1763916015625</v>
      </c>
      <c r="E10">
        <v>-0.1708030700683594</v>
      </c>
      <c r="F10">
        <v>-0.17070770263671881</v>
      </c>
      <c r="G10">
        <v>-0.1674461364746094</v>
      </c>
      <c r="H10">
        <v>0</v>
      </c>
      <c r="I10">
        <v>100.59235371979609</v>
      </c>
      <c r="J10">
        <v>95.853951481859653</v>
      </c>
      <c r="K10">
        <v>102.11343448109361</v>
      </c>
      <c r="L10">
        <v>98.059730783553803</v>
      </c>
      <c r="M10">
        <v>106.3422981326772</v>
      </c>
      <c r="N10">
        <v>2000.00012207032</v>
      </c>
      <c r="O10">
        <v>2000</v>
      </c>
      <c r="P10">
        <v>2000</v>
      </c>
      <c r="Q10">
        <v>2599.9998779296802</v>
      </c>
    </row>
    <row r="11" spans="1:17">
      <c r="A11" t="s">
        <v>26</v>
      </c>
      <c r="B11">
        <v>-0.18840312678366911</v>
      </c>
      <c r="C11">
        <v>9.2531578311258744E-2</v>
      </c>
      <c r="D11">
        <v>-0.20210265927016741</v>
      </c>
      <c r="E11">
        <v>-0.18636703304946431</v>
      </c>
      <c r="F11">
        <v>-0.18335342034697541</v>
      </c>
      <c r="G11">
        <v>-0.1817893944680691</v>
      </c>
      <c r="H11">
        <v>25</v>
      </c>
      <c r="I11">
        <v>100.7429905136264</v>
      </c>
      <c r="J11">
        <v>92.946771780704765</v>
      </c>
      <c r="K11">
        <v>100.3184386779451</v>
      </c>
      <c r="L11">
        <v>100.40467283755881</v>
      </c>
      <c r="M11">
        <v>109.3020787582971</v>
      </c>
      <c r="N11">
        <v>2000.00012207032</v>
      </c>
      <c r="O11">
        <v>2000</v>
      </c>
      <c r="P11">
        <v>2000</v>
      </c>
      <c r="Q11">
        <v>2599.9998779296802</v>
      </c>
    </row>
    <row r="12" spans="1:17">
      <c r="A12" t="s">
        <v>27</v>
      </c>
      <c r="B12">
        <v>-0.16520500183105469</v>
      </c>
      <c r="C12">
        <v>0.1027794610602922</v>
      </c>
      <c r="D12">
        <v>-0.1713371276855469</v>
      </c>
      <c r="E12">
        <v>-0.1682472229003906</v>
      </c>
      <c r="F12">
        <v>-0.1610755920410156</v>
      </c>
      <c r="G12">
        <v>-0.1601600646972656</v>
      </c>
      <c r="H12">
        <v>0</v>
      </c>
      <c r="I12">
        <v>100.6004908878205</v>
      </c>
      <c r="J12">
        <v>89.799566826897177</v>
      </c>
      <c r="K12">
        <v>97.5886324666902</v>
      </c>
      <c r="L12">
        <v>101.089502731054</v>
      </c>
      <c r="M12">
        <v>113.92426152664081</v>
      </c>
      <c r="N12">
        <v>1000</v>
      </c>
      <c r="O12">
        <v>1000</v>
      </c>
      <c r="P12">
        <v>1000.00024414063</v>
      </c>
      <c r="Q12">
        <v>2599.99975585937</v>
      </c>
    </row>
    <row r="13" spans="1:17">
      <c r="A13" t="s">
        <v>28</v>
      </c>
      <c r="B13">
        <v>-0.1850318908691406</v>
      </c>
      <c r="C13">
        <v>9.6684224019479514E-2</v>
      </c>
      <c r="D13">
        <v>-0.2070045471191406</v>
      </c>
      <c r="E13">
        <v>-0.18154144287109381</v>
      </c>
      <c r="F13">
        <v>-0.1743507385253906</v>
      </c>
      <c r="G13">
        <v>-0.1772308349609375</v>
      </c>
      <c r="H13">
        <v>25</v>
      </c>
      <c r="I13">
        <v>101.807428881992</v>
      </c>
      <c r="J13">
        <v>78.789306367339279</v>
      </c>
      <c r="K13">
        <v>94.432451188236215</v>
      </c>
      <c r="L13">
        <v>107.0295361593563</v>
      </c>
      <c r="M13">
        <v>126.97842181303611</v>
      </c>
      <c r="N13">
        <v>1000</v>
      </c>
      <c r="O13">
        <v>1000</v>
      </c>
      <c r="P13">
        <v>1000.00024414063</v>
      </c>
      <c r="Q13">
        <v>2599.99975585937</v>
      </c>
    </row>
    <row r="17" spans="1:9">
      <c r="A17" t="s">
        <v>29</v>
      </c>
    </row>
    <row r="18" spans="1:9">
      <c r="A18" t="s">
        <v>30</v>
      </c>
      <c r="B18" s="1" t="s">
        <v>31</v>
      </c>
      <c r="C18" t="s">
        <v>32</v>
      </c>
      <c r="D18" s="1" t="s">
        <v>33</v>
      </c>
      <c r="E18" t="s">
        <v>34</v>
      </c>
    </row>
    <row r="19" spans="1:9">
      <c r="A19" t="s">
        <v>35</v>
      </c>
      <c r="B19">
        <v>-0.27873515803366888</v>
      </c>
      <c r="C19">
        <v>0.19189036105987789</v>
      </c>
      <c r="D19">
        <v>-0.20340919494628909</v>
      </c>
      <c r="E19">
        <v>0.14845155728918111</v>
      </c>
    </row>
    <row r="20" spans="1:9">
      <c r="A20" t="s">
        <v>36</v>
      </c>
      <c r="B20">
        <v>-0.2420377666130662</v>
      </c>
      <c r="C20">
        <v>0.1234017110192374</v>
      </c>
      <c r="D20">
        <v>-0.2086448669433594</v>
      </c>
      <c r="E20">
        <v>0.14764317730669169</v>
      </c>
    </row>
    <row r="21" spans="1:9">
      <c r="A21" t="s">
        <v>37</v>
      </c>
      <c r="B21">
        <v>-0.21390914940275249</v>
      </c>
      <c r="C21">
        <v>0.11147255264791001</v>
      </c>
      <c r="D21">
        <v>-0.17487525939941409</v>
      </c>
      <c r="E21">
        <v>0.1263034940135209</v>
      </c>
    </row>
    <row r="22" spans="1:9">
      <c r="A22" t="s">
        <v>38</v>
      </c>
      <c r="B22">
        <v>-0.24169921787688509</v>
      </c>
      <c r="C22">
        <v>0.1287685352219021</v>
      </c>
      <c r="D22">
        <v>-0.19539833068847659</v>
      </c>
      <c r="E22">
        <v>0.13419963880385971</v>
      </c>
    </row>
    <row r="23" spans="1:9">
      <c r="A23" t="s">
        <v>39</v>
      </c>
      <c r="B23">
        <v>-0.18840312678366911</v>
      </c>
      <c r="C23">
        <v>9.2531578311258744E-2</v>
      </c>
      <c r="D23">
        <v>-0.1713371276855469</v>
      </c>
      <c r="E23">
        <v>0.1020305590123318</v>
      </c>
    </row>
    <row r="24" spans="1:9">
      <c r="A24" t="s">
        <v>40</v>
      </c>
      <c r="B24">
        <v>-0.1850318908691406</v>
      </c>
      <c r="C24">
        <v>9.6684224019479514E-2</v>
      </c>
      <c r="D24">
        <v>-0.16520500183105469</v>
      </c>
      <c r="E24">
        <v>0.1027794610602922</v>
      </c>
    </row>
    <row r="31" spans="1:9">
      <c r="A31" t="s">
        <v>41</v>
      </c>
    </row>
    <row r="32" spans="1:9">
      <c r="A32" t="s">
        <v>30</v>
      </c>
      <c r="B32" s="1" t="s">
        <v>42</v>
      </c>
      <c r="C32" s="1" t="s">
        <v>43</v>
      </c>
      <c r="D32" t="s">
        <v>44</v>
      </c>
      <c r="E32" t="s">
        <v>45</v>
      </c>
      <c r="F32" s="1" t="s">
        <v>46</v>
      </c>
      <c r="G32" s="1" t="s">
        <v>47</v>
      </c>
      <c r="H32" t="s">
        <v>48</v>
      </c>
      <c r="I32" t="s">
        <v>49</v>
      </c>
    </row>
    <row r="33" spans="1:27">
      <c r="A33" t="s">
        <v>35</v>
      </c>
      <c r="B33">
        <v>-0.27873515803366888</v>
      </c>
      <c r="C33">
        <v>-0.20340919494628909</v>
      </c>
      <c r="D33">
        <v>-0.58271027207374559</v>
      </c>
      <c r="E33">
        <v>-0.44126892499625608</v>
      </c>
      <c r="F33">
        <v>0.19189036105987789</v>
      </c>
      <c r="G33">
        <v>0.14845155728918111</v>
      </c>
      <c r="H33">
        <v>0.13084615322421961</v>
      </c>
      <c r="I33">
        <v>0.28369472831742581</v>
      </c>
    </row>
    <row r="34" spans="1:27">
      <c r="A34" t="s">
        <v>36</v>
      </c>
      <c r="B34">
        <v>-0.2420377666130662</v>
      </c>
      <c r="C34">
        <v>-0.2086448669433594</v>
      </c>
      <c r="D34">
        <v>-0.67707443088293051</v>
      </c>
      <c r="E34">
        <v>-0.40787888150662172</v>
      </c>
      <c r="F34">
        <v>0.1234017110192374</v>
      </c>
      <c r="G34">
        <v>0.14764317730669169</v>
      </c>
      <c r="H34">
        <v>0.19528966297190309</v>
      </c>
      <c r="I34">
        <v>0.30384631555279679</v>
      </c>
    </row>
    <row r="35" spans="1:27">
      <c r="A35" t="s">
        <v>37</v>
      </c>
      <c r="B35">
        <v>-0.21390914940275249</v>
      </c>
      <c r="C35">
        <v>-0.17487525939941409</v>
      </c>
      <c r="D35">
        <v>-0.55425261855125418</v>
      </c>
      <c r="E35">
        <v>-0.32005692496895749</v>
      </c>
      <c r="F35">
        <v>0.11147255264791001</v>
      </c>
      <c r="G35">
        <v>0.1263034940135209</v>
      </c>
      <c r="H35">
        <v>0.171544313743593</v>
      </c>
      <c r="I35">
        <v>0.1362164245972845</v>
      </c>
    </row>
    <row r="36" spans="1:27">
      <c r="A36" t="s">
        <v>38</v>
      </c>
      <c r="B36">
        <v>-0.24169921787688509</v>
      </c>
      <c r="C36">
        <v>-0.19539833068847659</v>
      </c>
      <c r="D36">
        <v>-0.6371193071827278</v>
      </c>
      <c r="E36">
        <v>-0.46164322244003397</v>
      </c>
      <c r="F36">
        <v>0.1287685352219021</v>
      </c>
      <c r="G36">
        <v>0.13419963880385971</v>
      </c>
      <c r="H36">
        <v>0.19110118508975341</v>
      </c>
      <c r="I36">
        <v>0.23815179279791571</v>
      </c>
    </row>
    <row r="37" spans="1:27">
      <c r="A37" t="s">
        <v>39</v>
      </c>
      <c r="B37">
        <v>-0.18840312678366911</v>
      </c>
      <c r="C37">
        <v>-0.1713371276855469</v>
      </c>
      <c r="D37">
        <v>-0.54541778564453103</v>
      </c>
      <c r="E37">
        <v>-0.51312637627124746</v>
      </c>
      <c r="F37">
        <v>9.2531578311258744E-2</v>
      </c>
      <c r="G37">
        <v>0.1020305590123318</v>
      </c>
      <c r="H37">
        <v>0.23358370249200769</v>
      </c>
      <c r="I37">
        <v>0.28836342020388378</v>
      </c>
    </row>
    <row r="38" spans="1:27">
      <c r="A38" t="s">
        <v>40</v>
      </c>
      <c r="B38">
        <v>-0.1850318908691406</v>
      </c>
      <c r="C38">
        <v>-0.16520500183105469</v>
      </c>
      <c r="D38">
        <v>-0.47603225111961328</v>
      </c>
      <c r="E38">
        <v>-0.44509506225585899</v>
      </c>
      <c r="F38">
        <v>9.6684224019479514E-2</v>
      </c>
      <c r="G38">
        <v>0.1027794610602922</v>
      </c>
      <c r="H38">
        <v>0.21462007391389401</v>
      </c>
      <c r="I38">
        <v>0.26935989579052178</v>
      </c>
    </row>
    <row r="47" spans="1:27">
      <c r="A47" t="s">
        <v>50</v>
      </c>
      <c r="Q47" t="s">
        <v>51</v>
      </c>
      <c r="AA47" t="s">
        <v>52</v>
      </c>
    </row>
    <row r="48" spans="1:27">
      <c r="A48" t="s">
        <v>30</v>
      </c>
      <c r="B48" s="1" t="s">
        <v>44</v>
      </c>
      <c r="C48" s="1" t="s">
        <v>45</v>
      </c>
      <c r="D48" t="s">
        <v>42</v>
      </c>
      <c r="E48" t="s">
        <v>43</v>
      </c>
      <c r="R48" t="s">
        <v>53</v>
      </c>
    </row>
    <row r="49" spans="1:35">
      <c r="A49" t="s">
        <v>35</v>
      </c>
      <c r="B49" s="2">
        <v>1</v>
      </c>
      <c r="C49" s="2">
        <v>0.5</v>
      </c>
      <c r="D49" s="2">
        <v>0.25</v>
      </c>
      <c r="E49" s="2">
        <v>0</v>
      </c>
      <c r="Q49" s="1" t="s">
        <v>54</v>
      </c>
      <c r="R49" t="s">
        <v>55</v>
      </c>
      <c r="S49" t="s">
        <v>56</v>
      </c>
      <c r="V49" s="1" t="s">
        <v>57</v>
      </c>
      <c r="W49" t="s">
        <v>55</v>
      </c>
      <c r="X49" t="s">
        <v>56</v>
      </c>
      <c r="AA49" s="1" t="s">
        <v>54</v>
      </c>
      <c r="AB49" t="s">
        <v>55</v>
      </c>
      <c r="AC49" t="s">
        <v>56</v>
      </c>
      <c r="AF49" s="1" t="s">
        <v>57</v>
      </c>
      <c r="AG49" t="s">
        <v>55</v>
      </c>
      <c r="AH49" t="s">
        <v>56</v>
      </c>
    </row>
    <row r="50" spans="1:35">
      <c r="A50" t="s">
        <v>36</v>
      </c>
      <c r="B50" s="2">
        <v>1</v>
      </c>
      <c r="C50" s="2">
        <v>0.6</v>
      </c>
      <c r="D50" s="2">
        <v>0.25</v>
      </c>
      <c r="E50" s="2">
        <v>0</v>
      </c>
      <c r="Q50" t="s">
        <v>58</v>
      </c>
      <c r="R50">
        <v>6</v>
      </c>
      <c r="S50">
        <v>30</v>
      </c>
      <c r="T50">
        <v>36</v>
      </c>
      <c r="V50" t="s">
        <v>58</v>
      </c>
      <c r="W50">
        <f>T50*R52/T52</f>
        <v>16</v>
      </c>
      <c r="X50">
        <f>T50*S52/T52</f>
        <v>20</v>
      </c>
      <c r="AA50" t="s">
        <v>58</v>
      </c>
      <c r="AB50">
        <v>0</v>
      </c>
      <c r="AC50">
        <v>16</v>
      </c>
      <c r="AD50">
        <v>16</v>
      </c>
      <c r="AF50" t="s">
        <v>58</v>
      </c>
      <c r="AG50" s="4">
        <f>AD50*AB52/AD52</f>
        <v>7.1111111111111107</v>
      </c>
      <c r="AH50" s="4">
        <f>AD50*AC52/AD52</f>
        <v>8.8888888888888893</v>
      </c>
      <c r="AI50" s="4"/>
    </row>
    <row r="51" spans="1:35">
      <c r="A51" t="s">
        <v>37</v>
      </c>
      <c r="B51" s="2">
        <v>1</v>
      </c>
      <c r="C51" s="2">
        <v>0.5</v>
      </c>
      <c r="D51" s="2">
        <v>0.25</v>
      </c>
      <c r="E51" s="2">
        <v>0</v>
      </c>
      <c r="Q51" t="s">
        <v>59</v>
      </c>
      <c r="R51">
        <v>18</v>
      </c>
      <c r="S51">
        <v>0</v>
      </c>
      <c r="T51">
        <v>18</v>
      </c>
      <c r="V51" t="s">
        <v>59</v>
      </c>
      <c r="W51">
        <f>T51*R52/T52</f>
        <v>8</v>
      </c>
      <c r="X51">
        <f>T51*S52/T52</f>
        <v>10</v>
      </c>
      <c r="AA51" t="s">
        <v>59</v>
      </c>
      <c r="AB51">
        <v>24</v>
      </c>
      <c r="AC51">
        <v>14</v>
      </c>
      <c r="AD51">
        <v>38</v>
      </c>
      <c r="AF51" t="s">
        <v>59</v>
      </c>
      <c r="AG51" s="4">
        <f>AD51*AB52/AD52</f>
        <v>16.888888888888889</v>
      </c>
      <c r="AH51" s="4">
        <f>AD51*AC52/AD52</f>
        <v>21.111111111111111</v>
      </c>
      <c r="AI51" s="4"/>
    </row>
    <row r="52" spans="1:35">
      <c r="A52" t="s">
        <v>38</v>
      </c>
      <c r="B52" s="2">
        <v>1</v>
      </c>
      <c r="C52" s="2">
        <v>0.6</v>
      </c>
      <c r="D52" s="2">
        <v>0.25</v>
      </c>
      <c r="E52" s="2">
        <v>0</v>
      </c>
      <c r="R52">
        <v>24</v>
      </c>
      <c r="S52">
        <v>30</v>
      </c>
      <c r="T52" s="1">
        <f>SUM(T50:T51)</f>
        <v>54</v>
      </c>
      <c r="AB52">
        <v>24</v>
      </c>
      <c r="AC52">
        <v>30</v>
      </c>
      <c r="AD52" s="1">
        <f>SUM(AD50:AD51)</f>
        <v>54</v>
      </c>
    </row>
    <row r="53" spans="1:35">
      <c r="A53" t="s">
        <v>39</v>
      </c>
      <c r="B53" s="2">
        <v>1</v>
      </c>
      <c r="C53" s="2">
        <v>0.4</v>
      </c>
      <c r="D53" s="2">
        <v>0.25</v>
      </c>
      <c r="E53" s="2">
        <v>0</v>
      </c>
    </row>
    <row r="54" spans="1:35">
      <c r="A54" t="s">
        <v>40</v>
      </c>
      <c r="B54" s="2">
        <v>1</v>
      </c>
      <c r="C54" s="2">
        <v>0.6</v>
      </c>
      <c r="D54" s="2">
        <v>0.25</v>
      </c>
      <c r="E54" s="2">
        <v>0</v>
      </c>
      <c r="Q54" s="1" t="s">
        <v>60</v>
      </c>
      <c r="R54" t="s">
        <v>55</v>
      </c>
      <c r="S54" t="s">
        <v>56</v>
      </c>
      <c r="V54" t="s">
        <v>61</v>
      </c>
      <c r="W54">
        <f>SUM(R55:S56)</f>
        <v>33.75</v>
      </c>
      <c r="AA54" s="1" t="s">
        <v>60</v>
      </c>
      <c r="AB54" t="s">
        <v>55</v>
      </c>
      <c r="AC54" t="s">
        <v>56</v>
      </c>
      <c r="AF54" t="s">
        <v>61</v>
      </c>
      <c r="AG54">
        <f>SUM(AB55:AC56)</f>
        <v>18.189473684210526</v>
      </c>
    </row>
    <row r="55" spans="1:35">
      <c r="Q55" t="s">
        <v>58</v>
      </c>
      <c r="R55">
        <f>(R50-W50)^2/W50</f>
        <v>6.25</v>
      </c>
      <c r="S55">
        <f>(S50-X50)^2/X50</f>
        <v>5</v>
      </c>
      <c r="V55" t="s">
        <v>62</v>
      </c>
      <c r="W55">
        <v>1</v>
      </c>
      <c r="AA55" t="s">
        <v>58</v>
      </c>
      <c r="AB55">
        <f>(AB50-AG50)^2/AG50</f>
        <v>7.1111111111111107</v>
      </c>
      <c r="AC55">
        <f>(AC50-AH50)^2/AH50</f>
        <v>5.6888888888888882</v>
      </c>
      <c r="AF55" t="s">
        <v>62</v>
      </c>
      <c r="AG55">
        <v>1</v>
      </c>
    </row>
    <row r="56" spans="1:35">
      <c r="B56" s="1" t="s">
        <v>44</v>
      </c>
      <c r="C56" t="s">
        <v>42</v>
      </c>
      <c r="D56" s="1" t="s">
        <v>45</v>
      </c>
      <c r="E56" t="s">
        <v>43</v>
      </c>
      <c r="Q56" t="s">
        <v>59</v>
      </c>
      <c r="R56">
        <f>(R51-W51)^2/W51</f>
        <v>12.5</v>
      </c>
      <c r="S56">
        <f>(S51-X51)^2/X51</f>
        <v>10</v>
      </c>
      <c r="V56" s="1" t="s">
        <v>63</v>
      </c>
      <c r="W56" s="1">
        <f>_xlfn.CHISQ.DIST.RT(W54,W55)</f>
        <v>6.2669043781484997E-9</v>
      </c>
      <c r="AA56" t="s">
        <v>59</v>
      </c>
      <c r="AB56">
        <f>(AB51-AG51)^2/AG51</f>
        <v>2.9941520467836256</v>
      </c>
      <c r="AC56">
        <f>(AC51-AH51)^2/AH51</f>
        <v>2.3953216374269006</v>
      </c>
      <c r="AF56" s="1" t="s">
        <v>63</v>
      </c>
      <c r="AG56" s="1">
        <f>_xlfn.CHISQ.DIST.RT(AG54,AG55)</f>
        <v>1.9998107736126536E-5</v>
      </c>
    </row>
    <row r="57" spans="1:35">
      <c r="A57" t="s">
        <v>64</v>
      </c>
      <c r="B57" s="2">
        <f>AVERAGE(B49:B54)</f>
        <v>1</v>
      </c>
      <c r="C57" s="2">
        <v>0.25</v>
      </c>
      <c r="D57" s="2">
        <f>AVERAGE(C49:C54)</f>
        <v>0.53333333333333333</v>
      </c>
      <c r="E57" s="2">
        <v>0</v>
      </c>
    </row>
    <row r="62" spans="1:35">
      <c r="A62" t="s">
        <v>65</v>
      </c>
    </row>
    <row r="63" spans="1:35">
      <c r="A63" t="s">
        <v>30</v>
      </c>
      <c r="B63" t="s">
        <v>44</v>
      </c>
      <c r="C63" t="s">
        <v>45</v>
      </c>
      <c r="D63" t="s">
        <v>42</v>
      </c>
      <c r="E63" t="s">
        <v>43</v>
      </c>
    </row>
    <row r="64" spans="1:35">
      <c r="A64" t="s">
        <v>35</v>
      </c>
      <c r="B64">
        <v>99.617628419988179</v>
      </c>
      <c r="C64">
        <v>94.187763522044875</v>
      </c>
      <c r="D64">
        <v>104.1057357622211</v>
      </c>
      <c r="E64" s="3">
        <v>99.965999999999994</v>
      </c>
    </row>
    <row r="65" spans="1:5">
      <c r="A65" t="s">
        <v>36</v>
      </c>
      <c r="B65">
        <v>99.275948120831231</v>
      </c>
      <c r="C65">
        <v>99.313301431974224</v>
      </c>
      <c r="D65">
        <v>99.867565460224824</v>
      </c>
      <c r="E65">
        <v>100.1035704542229</v>
      </c>
    </row>
    <row r="66" spans="1:5">
      <c r="A66" t="s">
        <v>37</v>
      </c>
      <c r="B66">
        <v>101.33088093839309</v>
      </c>
      <c r="C66">
        <v>100.08409612211889</v>
      </c>
      <c r="D66">
        <v>103.4254979808922</v>
      </c>
      <c r="E66">
        <v>103.5273254911891</v>
      </c>
    </row>
    <row r="67" spans="1:5">
      <c r="A67" t="s">
        <v>38</v>
      </c>
      <c r="B67">
        <v>103.0925695726652</v>
      </c>
      <c r="C67">
        <v>104.9808049809801</v>
      </c>
      <c r="D67">
        <v>109.5653842570446</v>
      </c>
      <c r="E67">
        <v>102.89886749589471</v>
      </c>
    </row>
    <row r="68" spans="1:5">
      <c r="A68" t="s">
        <v>39</v>
      </c>
      <c r="B68">
        <v>99.062050525444135</v>
      </c>
      <c r="C68">
        <v>99.56755486733725</v>
      </c>
      <c r="D68">
        <v>100.7429905136264</v>
      </c>
      <c r="E68">
        <v>100.59235371979609</v>
      </c>
    </row>
    <row r="69" spans="1:5">
      <c r="A69" t="s">
        <v>40</v>
      </c>
      <c r="B69">
        <v>101.9844100492672</v>
      </c>
      <c r="C69">
        <v>101.4213802696199</v>
      </c>
      <c r="D69">
        <v>101.807428881992</v>
      </c>
      <c r="E69">
        <v>100.6004908878205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2026-02-21T02:03:03Z</dcterms:created>
  <dcterms:modified xsi:type="dcterms:W3CDTF">2026-02-22T22:25:08Z</dcterms:modified>
  <cp:category/>
  <cp:contentStatus/>
</cp:coreProperties>
</file>